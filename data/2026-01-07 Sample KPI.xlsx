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03"/>
  <workbookPr/>
  <mc:AlternateContent xmlns:mc="http://schemas.openxmlformats.org/markup-compatibility/2006">
    <mc:Choice Requires="x15">
      <x15ac:absPath xmlns:x15ac="http://schemas.microsoft.com/office/spreadsheetml/2010/11/ac" url="C:\Users\cywong\OneDrive - UOW Malaysia KDU\Desktop\"/>
    </mc:Choice>
  </mc:AlternateContent>
  <xr:revisionPtr revIDLastSave="0" documentId="8_{54E5CF39-2791-4974-A0A4-F585952676E0}" xr6:coauthVersionLast="47" xr6:coauthVersionMax="47" xr10:uidLastSave="{00000000-0000-0000-0000-000000000000}"/>
  <bookViews>
    <workbookView xWindow="-120" yWindow="-120" windowWidth="29040" windowHeight="15720" xr2:uid="{3B5803A0-D248-4EDC-A4AF-7594ED95746D}"/>
  </bookViews>
  <sheets>
    <sheet name="SA001_Aina" sheetId="1" r:id="rId1"/>
    <sheet name="Sheet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1" i="1" l="1"/>
  <c r="G34" i="1"/>
  <c r="E34" i="1"/>
  <c r="E31" i="1"/>
  <c r="G31" i="1" s="1"/>
  <c r="E26" i="1"/>
  <c r="G26" i="1" s="1"/>
  <c r="E23" i="1"/>
  <c r="G23" i="1" s="1"/>
  <c r="E19" i="1"/>
  <c r="G19" i="1" s="1"/>
  <c r="E14" i="1"/>
  <c r="G14" i="1" s="1"/>
  <c r="G38" i="1" s="1"/>
  <c r="B10" i="1"/>
  <c r="D9" i="1"/>
  <c r="D8" i="1"/>
  <c r="D7" i="1"/>
  <c r="D10" i="1" s="1"/>
  <c r="G40" i="1" l="1"/>
</calcChain>
</file>

<file path=xl/sharedStrings.xml><?xml version="1.0" encoding="utf-8"?>
<sst xmlns="http://schemas.openxmlformats.org/spreadsheetml/2006/main" count="74" uniqueCount="56">
  <si>
    <t>Performance Evaluation Example (Sales Assistant)</t>
  </si>
  <si>
    <t>Employee ID</t>
  </si>
  <si>
    <t>SA001</t>
  </si>
  <si>
    <t>Employee Name</t>
  </si>
  <si>
    <t>Aina Rahman</t>
  </si>
  <si>
    <t>SECTION 1: Core Competencies (25%)</t>
  </si>
  <si>
    <t>Competency</t>
  </si>
  <si>
    <t>Weight</t>
  </si>
  <si>
    <t>Score (1–5)</t>
  </si>
  <si>
    <t>Weighted Score</t>
  </si>
  <si>
    <t/>
  </si>
  <si>
    <t>Initiative</t>
  </si>
  <si>
    <t>Professional Conduct</t>
  </si>
  <si>
    <t>Reliability &amp; Accountability</t>
  </si>
  <si>
    <t>Section 1 Total</t>
  </si>
  <si>
    <t>SECTION 2: KPI Achievement (75%)</t>
  </si>
  <si>
    <t>KPI</t>
  </si>
  <si>
    <t>Measurable Target</t>
  </si>
  <si>
    <t>Rating (1–5)</t>
  </si>
  <si>
    <t>Overall KPI Score (avg)</t>
  </si>
  <si>
    <t>Daily Sales Operations</t>
  </si>
  <si>
    <t>Accurate sales transaction processing</t>
  </si>
  <si>
    <t>Correct handling of cash/card/e-wallet payments</t>
  </si>
  <si>
    <t>Compliance with opening &amp; closing procedures</t>
  </si>
  <si>
    <t>Sales floor kept organised &amp; presentable</t>
  </si>
  <si>
    <t>Customer Service Quality</t>
  </si>
  <si>
    <t>Accurate information provided to customers</t>
  </si>
  <si>
    <t>Complaints handled professionally &amp; escalated appropriately</t>
  </si>
  <si>
    <t>Compliance with service standards</t>
  </si>
  <si>
    <t>Sales Target Contribution</t>
  </si>
  <si>
    <t>Achievement of assigned sales targets</t>
  </si>
  <si>
    <t>Participation in sales campaigns and promotions</t>
  </si>
  <si>
    <t>People, Training &amp; Team Contribution</t>
  </si>
  <si>
    <t>Attendance at required training programmes</t>
  </si>
  <si>
    <t>Applies learning to daily sales work</t>
  </si>
  <si>
    <t>Supports team operations during peak periods</t>
  </si>
  <si>
    <t>Participates in team activities or briefings</t>
  </si>
  <si>
    <t>Inventory &amp; Cost Control</t>
  </si>
  <si>
    <t>Proper inventory handling</t>
  </si>
  <si>
    <t>Minimisation of stock loss or damage</t>
  </si>
  <si>
    <t>Store Operations Support</t>
  </si>
  <si>
    <t>Stock receiving and shelving support</t>
  </si>
  <si>
    <t>Promotion and display setup support</t>
  </si>
  <si>
    <t>Compliance with SOP and safety rules</t>
  </si>
  <si>
    <t>Section 2 Total</t>
  </si>
  <si>
    <t>FINAL PERFORMANCE SCORE (1–5 scale)</t>
  </si>
  <si>
    <t>COMMENTS &amp; DEVELOPMENT</t>
  </si>
  <si>
    <t>Supervisor Comments:</t>
  </si>
  <si>
    <t>Training / Development Recommendation:</t>
  </si>
  <si>
    <t>Score</t>
  </si>
  <si>
    <t>Description</t>
  </si>
  <si>
    <t>Very Poor</t>
  </si>
  <si>
    <t>Poor</t>
  </si>
  <si>
    <t>Satisfactory</t>
  </si>
  <si>
    <t>Good</t>
  </si>
  <si>
    <t>Excellent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</si>
</sst>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4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b/>
      <sz val="12"/>
      <color theme="1"/>
      <name val="Aptos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F7F7F7"/>
      </patternFill>
    </fill>
    <fill>
      <patternFill patternType="solid">
        <fgColor rgb="FFE2EFDA"/>
      </patternFill>
    </fill>
    <fill>
      <patternFill patternType="solid">
        <fgColor rgb="FFFFF2CC"/>
        <bgColor indexed="64"/>
      </patternFill>
    </fill>
  </fills>
  <borders count="3">
    <border>
      <left/>
      <right/>
      <top/>
      <bottom/>
      <diagonal/>
    </border>
    <border>
      <left style="thin">
        <color rgb="FF9E9E9E"/>
      </left>
      <right style="thin">
        <color rgb="FF9E9E9E"/>
      </right>
      <top style="thin">
        <color rgb="FF9E9E9E"/>
      </top>
      <bottom style="thin">
        <color rgb="FF9E9E9E"/>
      </bottom>
      <diagonal/>
    </border>
    <border>
      <left style="thin">
        <color rgb="FF9E9E9E"/>
      </left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0" xfId="0" applyFont="1"/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164" fontId="0" fillId="0" borderId="1" xfId="0" applyNumberFormat="1" applyBorder="1" applyAlignment="1">
      <alignment horizontal="center" vertical="center" wrapText="1"/>
    </xf>
    <xf numFmtId="165" fontId="0" fillId="0" borderId="1" xfId="0" applyNumberForma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top" wrapText="1"/>
    </xf>
    <xf numFmtId="164" fontId="0" fillId="4" borderId="1" xfId="0" applyNumberForma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left" vertical="top" wrapText="1"/>
    </xf>
    <xf numFmtId="1" fontId="0" fillId="5" borderId="1" xfId="0" applyNumberFormat="1" applyFill="1" applyBorder="1" applyAlignment="1">
      <alignment horizontal="center" vertical="center" wrapText="1"/>
    </xf>
    <xf numFmtId="2" fontId="2" fillId="4" borderId="1" xfId="0" applyNumberFormat="1" applyFont="1" applyFill="1" applyBorder="1" applyAlignment="1">
      <alignment horizontal="center" vertical="center" wrapText="1"/>
    </xf>
    <xf numFmtId="2" fontId="2" fillId="6" borderId="1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3" fillId="0" borderId="0" xfId="0" applyFont="1"/>
    <xf numFmtId="0" fontId="0" fillId="7" borderId="0" xfId="0" applyFill="1" applyAlignment="1">
      <alignment horizontal="center"/>
    </xf>
    <xf numFmtId="2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left" vertical="top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2" fontId="0" fillId="0" borderId="2" xfId="0" applyNumberFormat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2" fontId="2" fillId="4" borderId="2" xfId="0" applyNumberFormat="1" applyFont="1" applyFill="1" applyBorder="1" applyAlignment="1">
      <alignment horizontal="center" vertical="center" wrapText="1"/>
    </xf>
    <xf numFmtId="2" fontId="2" fillId="4" borderId="0" xfId="0" applyNumberFormat="1" applyFont="1" applyFill="1" applyAlignment="1">
      <alignment horizontal="center" vertical="center" wrapText="1"/>
    </xf>
    <xf numFmtId="0" fontId="2" fillId="4" borderId="1" xfId="0" applyFont="1" applyFill="1" applyBorder="1" applyAlignment="1">
      <alignment horizontal="left" vertical="top" wrapText="1"/>
    </xf>
    <xf numFmtId="0" fontId="0" fillId="4" borderId="1" xfId="0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top" wrapText="1"/>
    </xf>
    <xf numFmtId="0" fontId="0" fillId="6" borderId="1" xfId="0" applyFill="1" applyBorder="1" applyAlignment="1">
      <alignment horizontal="center" vertical="center"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2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D656D-ABEE-4EC9-A02D-EB7B44EDA7E8}">
  <dimension ref="A1:H55"/>
  <sheetViews>
    <sheetView showGridLines="0" tabSelected="1" topLeftCell="A32" zoomScale="85" zoomScaleNormal="85" workbookViewId="0">
      <selection activeCell="I50" sqref="I50"/>
    </sheetView>
  </sheetViews>
  <sheetFormatPr defaultRowHeight="15"/>
  <cols>
    <col min="1" max="1" width="28" customWidth="1"/>
    <col min="2" max="2" width="46" customWidth="1"/>
    <col min="3" max="3" width="14" customWidth="1"/>
    <col min="4" max="4" width="2" customWidth="1"/>
    <col min="5" max="5" width="22" customWidth="1"/>
    <col min="6" max="6" width="10" customWidth="1"/>
    <col min="7" max="7" width="14" customWidth="1"/>
    <col min="8" max="8" width="2" customWidth="1"/>
  </cols>
  <sheetData>
    <row r="1" spans="1:8" ht="24" customHeight="1">
      <c r="A1" s="19" t="s">
        <v>0</v>
      </c>
      <c r="B1" s="31"/>
      <c r="C1" s="31"/>
      <c r="D1" s="31"/>
      <c r="E1" s="31"/>
      <c r="F1" s="31"/>
      <c r="G1" s="31"/>
      <c r="H1" s="31"/>
    </row>
    <row r="3" spans="1:8">
      <c r="A3" s="1" t="s">
        <v>1</v>
      </c>
      <c r="B3" t="s">
        <v>2</v>
      </c>
      <c r="D3" s="1" t="s">
        <v>3</v>
      </c>
      <c r="E3" t="s">
        <v>4</v>
      </c>
    </row>
    <row r="5" spans="1:8" ht="20.100000000000001" customHeight="1">
      <c r="A5" s="20" t="s">
        <v>5</v>
      </c>
      <c r="B5" s="31"/>
      <c r="C5" s="31"/>
      <c r="D5" s="31"/>
      <c r="E5" s="31"/>
      <c r="F5" s="31"/>
      <c r="G5" s="31"/>
      <c r="H5" s="31"/>
    </row>
    <row r="6" spans="1:8" ht="20.100000000000001" customHeight="1">
      <c r="A6" s="2" t="s">
        <v>6</v>
      </c>
      <c r="B6" s="2" t="s">
        <v>7</v>
      </c>
      <c r="C6" s="2" t="s">
        <v>8</v>
      </c>
      <c r="D6" s="21" t="s">
        <v>9</v>
      </c>
      <c r="E6" s="22"/>
      <c r="F6" t="s">
        <v>10</v>
      </c>
      <c r="G6" t="s">
        <v>10</v>
      </c>
      <c r="H6" t="s">
        <v>10</v>
      </c>
    </row>
    <row r="7" spans="1:8">
      <c r="A7" s="3" t="s">
        <v>11</v>
      </c>
      <c r="B7" s="4">
        <v>0.05</v>
      </c>
      <c r="C7" s="5">
        <v>5</v>
      </c>
      <c r="D7" s="23">
        <f>C7*B7</f>
        <v>0.25</v>
      </c>
      <c r="E7" s="24"/>
    </row>
    <row r="8" spans="1:8">
      <c r="A8" s="3" t="s">
        <v>12</v>
      </c>
      <c r="B8" s="4">
        <v>0.1</v>
      </c>
      <c r="C8" s="5">
        <v>5</v>
      </c>
      <c r="D8" s="23">
        <f>C8*B8</f>
        <v>0.5</v>
      </c>
      <c r="E8" s="24"/>
    </row>
    <row r="9" spans="1:8">
      <c r="A9" s="3" t="s">
        <v>13</v>
      </c>
      <c r="B9" s="4">
        <v>0.1</v>
      </c>
      <c r="C9" s="5">
        <v>5</v>
      </c>
      <c r="D9" s="23">
        <f>C9*B9</f>
        <v>0.5</v>
      </c>
      <c r="E9" s="24"/>
    </row>
    <row r="10" spans="1:8">
      <c r="A10" s="6" t="s">
        <v>14</v>
      </c>
      <c r="B10" s="7">
        <f>SUM(B7:B9)</f>
        <v>0.25</v>
      </c>
      <c r="C10" s="8"/>
      <c r="D10" s="25">
        <f>SUM(D7:D9)</f>
        <v>1.25</v>
      </c>
      <c r="E10" s="26"/>
    </row>
    <row r="12" spans="1:8" ht="20.100000000000001" customHeight="1">
      <c r="A12" s="20" t="s">
        <v>15</v>
      </c>
      <c r="B12" s="31"/>
      <c r="C12" s="31"/>
      <c r="D12" s="31"/>
      <c r="E12" s="31"/>
      <c r="F12" s="31"/>
      <c r="G12" s="31"/>
      <c r="H12" s="31"/>
    </row>
    <row r="13" spans="1:8" ht="32.1" customHeight="1">
      <c r="A13" s="2" t="s">
        <v>16</v>
      </c>
      <c r="B13" s="2" t="s">
        <v>17</v>
      </c>
      <c r="C13" s="2" t="s">
        <v>18</v>
      </c>
      <c r="D13" s="2" t="s">
        <v>10</v>
      </c>
      <c r="E13" s="2" t="s">
        <v>19</v>
      </c>
      <c r="F13" s="2" t="s">
        <v>7</v>
      </c>
      <c r="G13" s="2" t="s">
        <v>9</v>
      </c>
      <c r="H13" t="s">
        <v>10</v>
      </c>
    </row>
    <row r="14" spans="1:8">
      <c r="A14" s="9" t="s">
        <v>20</v>
      </c>
      <c r="B14" s="9" t="s">
        <v>21</v>
      </c>
      <c r="C14" s="10">
        <v>5</v>
      </c>
      <c r="E14" s="16">
        <f>AVERAGE(C14:C17)</f>
        <v>5</v>
      </c>
      <c r="F14" s="18">
        <v>0.15</v>
      </c>
      <c r="G14" s="16">
        <f>E14*F14</f>
        <v>0.75</v>
      </c>
    </row>
    <row r="15" spans="1:8">
      <c r="A15" s="9" t="s">
        <v>10</v>
      </c>
      <c r="B15" s="9" t="s">
        <v>22</v>
      </c>
      <c r="C15" s="10">
        <v>5</v>
      </c>
      <c r="E15" s="17"/>
      <c r="F15" s="17"/>
      <c r="G15" s="17"/>
    </row>
    <row r="16" spans="1:8">
      <c r="A16" s="9" t="s">
        <v>10</v>
      </c>
      <c r="B16" s="9" t="s">
        <v>23</v>
      </c>
      <c r="C16" s="10">
        <v>5</v>
      </c>
      <c r="E16" s="17"/>
      <c r="F16" s="17"/>
      <c r="G16" s="17"/>
    </row>
    <row r="17" spans="1:7">
      <c r="A17" s="9" t="s">
        <v>10</v>
      </c>
      <c r="B17" s="9" t="s">
        <v>24</v>
      </c>
      <c r="C17" s="10">
        <v>5</v>
      </c>
      <c r="E17" s="17"/>
      <c r="F17" s="17"/>
      <c r="G17" s="17"/>
    </row>
    <row r="19" spans="1:7">
      <c r="A19" s="9" t="s">
        <v>25</v>
      </c>
      <c r="B19" s="9" t="s">
        <v>26</v>
      </c>
      <c r="C19" s="10">
        <v>5</v>
      </c>
      <c r="E19" s="16">
        <f>AVERAGE(C19:C21)</f>
        <v>5</v>
      </c>
      <c r="F19" s="18">
        <v>0.15</v>
      </c>
      <c r="G19" s="16">
        <f>E19*F19</f>
        <v>0.75</v>
      </c>
    </row>
    <row r="20" spans="1:7" ht="30">
      <c r="A20" s="9" t="s">
        <v>10</v>
      </c>
      <c r="B20" s="9" t="s">
        <v>27</v>
      </c>
      <c r="C20" s="10">
        <v>5</v>
      </c>
      <c r="E20" s="17"/>
      <c r="F20" s="17"/>
      <c r="G20" s="17"/>
    </row>
    <row r="21" spans="1:7">
      <c r="A21" s="9" t="s">
        <v>10</v>
      </c>
      <c r="B21" s="9" t="s">
        <v>28</v>
      </c>
      <c r="C21" s="10">
        <v>5</v>
      </c>
      <c r="E21" s="17"/>
      <c r="F21" s="17"/>
      <c r="G21" s="17"/>
    </row>
    <row r="23" spans="1:7">
      <c r="A23" s="9" t="s">
        <v>29</v>
      </c>
      <c r="B23" s="9" t="s">
        <v>30</v>
      </c>
      <c r="C23" s="10">
        <v>5</v>
      </c>
      <c r="E23" s="16">
        <f>AVERAGE(C23:C24)</f>
        <v>5</v>
      </c>
      <c r="F23" s="18">
        <v>0.15</v>
      </c>
      <c r="G23" s="16">
        <f>E23*F23</f>
        <v>0.75</v>
      </c>
    </row>
    <row r="24" spans="1:7">
      <c r="A24" s="9" t="s">
        <v>10</v>
      </c>
      <c r="B24" s="9" t="s">
        <v>31</v>
      </c>
      <c r="C24" s="10">
        <v>5</v>
      </c>
      <c r="E24" s="17"/>
      <c r="F24" s="17"/>
      <c r="G24" s="17"/>
    </row>
    <row r="26" spans="1:7" ht="30">
      <c r="A26" s="9" t="s">
        <v>32</v>
      </c>
      <c r="B26" s="9" t="s">
        <v>33</v>
      </c>
      <c r="C26" s="10">
        <v>5</v>
      </c>
      <c r="E26" s="16">
        <f>AVERAGE(C26:C29)</f>
        <v>5</v>
      </c>
      <c r="F26" s="18">
        <v>0.1</v>
      </c>
      <c r="G26" s="16">
        <f>E26*F26</f>
        <v>0.5</v>
      </c>
    </row>
    <row r="27" spans="1:7">
      <c r="A27" s="9" t="s">
        <v>10</v>
      </c>
      <c r="B27" s="9" t="s">
        <v>34</v>
      </c>
      <c r="C27" s="10">
        <v>5</v>
      </c>
      <c r="E27" s="17"/>
      <c r="F27" s="17"/>
      <c r="G27" s="17"/>
    </row>
    <row r="28" spans="1:7">
      <c r="A28" s="9" t="s">
        <v>10</v>
      </c>
      <c r="B28" s="9" t="s">
        <v>35</v>
      </c>
      <c r="C28" s="10">
        <v>5</v>
      </c>
      <c r="E28" s="17"/>
      <c r="F28" s="17"/>
      <c r="G28" s="17"/>
    </row>
    <row r="29" spans="1:7">
      <c r="A29" s="9" t="s">
        <v>10</v>
      </c>
      <c r="B29" s="9" t="s">
        <v>36</v>
      </c>
      <c r="C29" s="10">
        <v>5</v>
      </c>
      <c r="E29" s="17"/>
      <c r="F29" s="17"/>
      <c r="G29" s="17"/>
    </row>
    <row r="31" spans="1:7">
      <c r="A31" s="9" t="s">
        <v>37</v>
      </c>
      <c r="B31" s="9" t="s">
        <v>38</v>
      </c>
      <c r="C31" s="10">
        <v>5</v>
      </c>
      <c r="E31" s="16">
        <f>AVERAGE(C31:C32)</f>
        <v>5</v>
      </c>
      <c r="F31" s="18">
        <v>0.05</v>
      </c>
      <c r="G31" s="16">
        <f>E31*F31</f>
        <v>0.25</v>
      </c>
    </row>
    <row r="32" spans="1:7">
      <c r="A32" s="9" t="s">
        <v>10</v>
      </c>
      <c r="B32" s="9" t="s">
        <v>39</v>
      </c>
      <c r="C32" s="10">
        <v>5</v>
      </c>
      <c r="E32" s="17"/>
      <c r="F32" s="17"/>
      <c r="G32" s="17"/>
    </row>
    <row r="34" spans="1:7">
      <c r="A34" s="9" t="s">
        <v>40</v>
      </c>
      <c r="B34" s="9" t="s">
        <v>41</v>
      </c>
      <c r="C34" s="10">
        <v>5</v>
      </c>
      <c r="E34" s="16">
        <f>AVERAGE(C34:C36)</f>
        <v>5</v>
      </c>
      <c r="F34" s="18">
        <v>0.15</v>
      </c>
      <c r="G34" s="16">
        <f>E34*F34</f>
        <v>0.75</v>
      </c>
    </row>
    <row r="35" spans="1:7">
      <c r="A35" s="9" t="s">
        <v>10</v>
      </c>
      <c r="B35" s="9" t="s">
        <v>42</v>
      </c>
      <c r="C35" s="10">
        <v>5</v>
      </c>
      <c r="E35" s="17"/>
      <c r="F35" s="17"/>
      <c r="G35" s="17"/>
    </row>
    <row r="36" spans="1:7">
      <c r="A36" s="9" t="s">
        <v>10</v>
      </c>
      <c r="B36" s="9" t="s">
        <v>43</v>
      </c>
      <c r="C36" s="10">
        <v>5</v>
      </c>
      <c r="E36" s="17"/>
      <c r="F36" s="17"/>
      <c r="G36" s="17"/>
    </row>
    <row r="38" spans="1:7">
      <c r="A38" s="27" t="s">
        <v>44</v>
      </c>
      <c r="B38" s="28"/>
      <c r="C38" s="28"/>
      <c r="D38" s="28"/>
      <c r="E38" s="28"/>
      <c r="F38" s="28"/>
      <c r="G38" s="11">
        <f>SUM(G14,G19,G23,G26,G31,G34)</f>
        <v>3.75</v>
      </c>
    </row>
    <row r="40" spans="1:7">
      <c r="A40" s="29" t="s">
        <v>45</v>
      </c>
      <c r="B40" s="30"/>
      <c r="C40" s="30"/>
      <c r="D40" s="30"/>
      <c r="E40" s="30"/>
      <c r="F40" s="30"/>
      <c r="G40" s="12">
        <f>D10+G38</f>
        <v>5</v>
      </c>
    </row>
    <row r="41" spans="1:7">
      <c r="G41" t="str">
        <f>VLOOKUP(G40,Sheet1!$A$2:$B$6,2,FALSE)</f>
        <v>Excellent</v>
      </c>
    </row>
    <row r="43" spans="1:7" ht="15.75">
      <c r="A43" s="13" t="s">
        <v>46</v>
      </c>
    </row>
    <row r="44" spans="1:7" ht="15.75">
      <c r="A44" s="14" t="s">
        <v>47</v>
      </c>
    </row>
    <row r="45" spans="1:7">
      <c r="A45" s="15"/>
      <c r="B45" s="15"/>
      <c r="C45" s="15"/>
      <c r="D45" s="15"/>
      <c r="E45" s="15"/>
      <c r="F45" s="15"/>
      <c r="G45" s="15"/>
    </row>
    <row r="46" spans="1:7">
      <c r="A46" s="15"/>
      <c r="B46" s="15"/>
      <c r="C46" s="15"/>
      <c r="D46" s="15"/>
      <c r="E46" s="15"/>
      <c r="F46" s="15"/>
      <c r="G46" s="15"/>
    </row>
    <row r="47" spans="1:7">
      <c r="A47" s="15"/>
      <c r="B47" s="15"/>
      <c r="C47" s="15"/>
      <c r="D47" s="15"/>
      <c r="E47" s="15"/>
      <c r="F47" s="15"/>
      <c r="G47" s="15"/>
    </row>
    <row r="52" spans="1:7" ht="15.75">
      <c r="A52" s="13" t="s">
        <v>48</v>
      </c>
    </row>
    <row r="53" spans="1:7">
      <c r="A53" s="15"/>
      <c r="B53" s="15"/>
      <c r="C53" s="15"/>
      <c r="D53" s="15"/>
      <c r="E53" s="15"/>
      <c r="F53" s="15"/>
      <c r="G53" s="15"/>
    </row>
    <row r="54" spans="1:7">
      <c r="A54" s="15"/>
      <c r="B54" s="15"/>
      <c r="C54" s="15"/>
      <c r="D54" s="15"/>
      <c r="E54" s="15"/>
      <c r="F54" s="15"/>
      <c r="G54" s="15"/>
    </row>
    <row r="55" spans="1:7">
      <c r="A55" s="15"/>
      <c r="B55" s="15"/>
      <c r="C55" s="15"/>
      <c r="D55" s="15"/>
      <c r="E55" s="15"/>
      <c r="F55" s="15"/>
      <c r="G55" s="15"/>
    </row>
  </sheetData>
  <mergeCells count="30">
    <mergeCell ref="E34:E36"/>
    <mergeCell ref="F34:F36"/>
    <mergeCell ref="G34:G36"/>
    <mergeCell ref="D9:E9"/>
    <mergeCell ref="D10:E10"/>
    <mergeCell ref="A12:H12"/>
    <mergeCell ref="E14:E17"/>
    <mergeCell ref="F14:F17"/>
    <mergeCell ref="G14:G17"/>
    <mergeCell ref="A1:H1"/>
    <mergeCell ref="A5:H5"/>
    <mergeCell ref="D6:E6"/>
    <mergeCell ref="D7:E7"/>
    <mergeCell ref="D8:E8"/>
    <mergeCell ref="A45:G47"/>
    <mergeCell ref="A53:G55"/>
    <mergeCell ref="E19:E21"/>
    <mergeCell ref="F19:F21"/>
    <mergeCell ref="G19:G21"/>
    <mergeCell ref="E23:E24"/>
    <mergeCell ref="F23:F24"/>
    <mergeCell ref="G23:G24"/>
    <mergeCell ref="E26:E29"/>
    <mergeCell ref="F26:F29"/>
    <mergeCell ref="G26:G29"/>
    <mergeCell ref="A38:F38"/>
    <mergeCell ref="A40:F40"/>
    <mergeCell ref="E31:E32"/>
    <mergeCell ref="F31:F32"/>
    <mergeCell ref="G31:G3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4AAD0-8858-4190-BBCD-A09E37EF3980}">
  <dimension ref="A1:B6"/>
  <sheetViews>
    <sheetView workbookViewId="0">
      <selection sqref="A1:B6"/>
    </sheetView>
  </sheetViews>
  <sheetFormatPr defaultRowHeight="15"/>
  <cols>
    <col min="2" max="2" width="11.28515625" bestFit="1" customWidth="1"/>
  </cols>
  <sheetData>
    <row r="1" spans="1:2">
      <c r="A1" t="s">
        <v>49</v>
      </c>
      <c r="B1" t="s">
        <v>50</v>
      </c>
    </row>
    <row r="2" spans="1:2">
      <c r="A2">
        <v>1</v>
      </c>
      <c r="B2" t="s">
        <v>51</v>
      </c>
    </row>
    <row r="3" spans="1:2">
      <c r="A3">
        <v>2</v>
      </c>
      <c r="B3" t="s">
        <v>52</v>
      </c>
    </row>
    <row r="4" spans="1:2">
      <c r="A4">
        <v>3</v>
      </c>
      <c r="B4" t="s">
        <v>53</v>
      </c>
    </row>
    <row r="5" spans="1:2">
      <c r="A5">
        <v>4</v>
      </c>
      <c r="B5" t="s">
        <v>54</v>
      </c>
    </row>
    <row r="6" spans="1:2">
      <c r="A6">
        <v>5</v>
      </c>
      <c r="B6" t="s">
        <v>55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8a5fa5a2-dc48-4219-919b-8f08bc69489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09F0C0247671C46B809993A511089B8" ma:contentTypeVersion="4" ma:contentTypeDescription="Create a new document." ma:contentTypeScope="" ma:versionID="eda5a2d09b64c3f9dc535411583a9df2">
  <xsd:schema xmlns:xsd="http://www.w3.org/2001/XMLSchema" xmlns:xs="http://www.w3.org/2001/XMLSchema" xmlns:p="http://schemas.microsoft.com/office/2006/metadata/properties" xmlns:ns2="8a5fa5a2-dc48-4219-919b-8f08bc694892" targetNamespace="http://schemas.microsoft.com/office/2006/metadata/properties" ma:root="true" ma:fieldsID="22224418ffefc9330ad2f493a6d790ed" ns2:_="">
    <xsd:import namespace="8a5fa5a2-dc48-4219-919b-8f08bc694892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5fa5a2-dc48-4219-919b-8f08bc694892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13751A1-9E3D-4697-92D1-1854F1DB3E36}"/>
</file>

<file path=customXml/itemProps2.xml><?xml version="1.0" encoding="utf-8"?>
<ds:datastoreItem xmlns:ds="http://schemas.openxmlformats.org/officeDocument/2006/customXml" ds:itemID="{B252C2F5-61B6-4955-AF64-9CF8D9613D3A}"/>
</file>

<file path=customXml/itemProps3.xml><?xml version="1.0" encoding="utf-8"?>
<ds:datastoreItem xmlns:ds="http://schemas.openxmlformats.org/officeDocument/2006/customXml" ds:itemID="{3CC98476-8F72-4D60-A362-2F5CDFFF3DA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Julian Wong Choon Yee</dc:creator>
  <cp:keywords/>
  <dc:description/>
  <cp:lastModifiedBy>Julian Wong Choon Yee</cp:lastModifiedBy>
  <cp:revision/>
  <dcterms:created xsi:type="dcterms:W3CDTF">2026-02-03T00:50:13Z</dcterms:created>
  <dcterms:modified xsi:type="dcterms:W3CDTF">2026-02-05T13:00:04Z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0x010100809F0C0247671C46B809993A511089B8</vt:lpwstr>
  </property>
</Properties>
</file>